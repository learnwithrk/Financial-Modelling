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bookViews>
    <workbookView xWindow="0" yWindow="0" windowWidth="19200" windowHeight="7905" tabRatio="500"/>
  </bookViews>
  <sheets>
    <sheet name="Ex3 Share Bond Valuation" sheetId="4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4" l="1"/>
  <c r="J7" i="4" s="1"/>
  <c r="H7" i="4"/>
  <c r="G7" i="4"/>
  <c r="F7" i="4"/>
  <c r="H6" i="4"/>
  <c r="F6" i="4"/>
  <c r="G6" i="4" s="1"/>
  <c r="I5" i="4"/>
  <c r="J5" i="4" s="1"/>
  <c r="H5" i="4"/>
  <c r="G5" i="4"/>
  <c r="F5" i="4"/>
  <c r="H4" i="4"/>
  <c r="F4" i="4"/>
  <c r="I4" i="4" s="1"/>
  <c r="J4" i="4" s="1"/>
  <c r="G4" i="4" l="1"/>
  <c r="I6" i="4"/>
  <c r="J6" i="4" s="1"/>
</calcChain>
</file>

<file path=xl/sharedStrings.xml><?xml version="1.0" encoding="utf-8"?>
<sst xmlns="http://schemas.openxmlformats.org/spreadsheetml/2006/main" count="37" uniqueCount="37">
  <si>
    <t>Company</t>
  </si>
  <si>
    <t>EXERCISE 3 — Share, Bond &amp; Debenture Valuation (PRICE &amp; YIELD Functions)</t>
  </si>
  <si>
    <t>PART A — Automobile Company Share Valuation</t>
  </si>
  <si>
    <t>EPS (Rs)</t>
  </si>
  <si>
    <t>DIV %</t>
  </si>
  <si>
    <t>Share Price
(Rs)</t>
  </si>
  <si>
    <t>Face Value
(Rs)</t>
  </si>
  <si>
    <t>Annual
Dividend (Rs)</t>
  </si>
  <si>
    <t>Dividend
Yield %</t>
  </si>
  <si>
    <t>P/E Ratio</t>
  </si>
  <si>
    <t>Intrinsic
Value*</t>
  </si>
  <si>
    <t>Over/Under
Valued</t>
  </si>
  <si>
    <t>Bajaj</t>
  </si>
  <si>
    <t>Hero Honda</t>
  </si>
  <si>
    <t>Kinetic</t>
  </si>
  <si>
    <t>M &amp; M</t>
  </si>
  <si>
    <t>* Intrinsic Value = Annual Dividend / (Required Return - Growth Rate). Assumes K=12%, g=5% (Gordon Growth Model: P = D/(K-g))</t>
  </si>
  <si>
    <t>PART B — Vision Ltd: Dividend Discount Model (DDM) Valuation</t>
  </si>
  <si>
    <t>Given Data:</t>
  </si>
  <si>
    <t>Annual Dividend (D₀) = Rs. 4</t>
  </si>
  <si>
    <t>Required Return (K) =</t>
  </si>
  <si>
    <t>Scenario</t>
  </si>
  <si>
    <t>Growth Rate (g)</t>
  </si>
  <si>
    <t>Dividend (D₁)</t>
  </si>
  <si>
    <t>Formula Used</t>
  </si>
  <si>
    <t>Share Value (Rs)</t>
  </si>
  <si>
    <t>Interpretation</t>
  </si>
  <si>
    <t>(i) Zero Growth</t>
  </si>
  <si>
    <t>'=d₁/k = 4/0.12</t>
  </si>
  <si>
    <t>No growth; fixed perpetuity</t>
  </si>
  <si>
    <t>(ii) 5% Growth</t>
  </si>
  <si>
    <t>'=d₁/(k-g) = 4.2/(0.12-0.05)</t>
  </si>
  <si>
    <t>Moderate growth; higher value</t>
  </si>
  <si>
    <t>(iii) 8% Growth</t>
  </si>
  <si>
    <t>'=d₁/(k-g) = 4.32/(0.12-0.08)</t>
  </si>
  <si>
    <t>High growth → much higher value</t>
  </si>
  <si>
    <t xml:space="preserve"> *Formula: Gordon Growth Model — P₀ = D₁ / (K – g) | Zero growth: P₀ = D / K (perpetuity) | D₁ = D₀ × (1 +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</si>
</sst>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1"/>
    </font>
    <font>
      <b/>
      <sz val="10"/>
      <color rgb="FF1B2A4A"/>
      <name val="Arial"/>
      <family val="2"/>
    </font>
    <font>
      <sz val="9"/>
      <color rgb="FF424242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424242"/>
      <name val="Arial"/>
      <family val="2"/>
    </font>
    <font>
      <b/>
      <sz val="10"/>
      <color rgb="FF424242"/>
      <name val="Arial"/>
      <family val="2"/>
    </font>
    <font>
      <i/>
      <sz val="9"/>
      <color rgb="FF1B2A4A"/>
      <name val="Arial"/>
      <family val="2"/>
    </font>
    <font>
      <b/>
      <sz val="10"/>
      <color rgb="FF1B5E2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B2A4A"/>
        <bgColor rgb="FF2D2D2D"/>
      </patternFill>
    </fill>
    <fill>
      <patternFill patternType="solid">
        <fgColor rgb="FF4A90D9"/>
        <bgColor rgb="FF4F81BD"/>
      </patternFill>
    </fill>
    <fill>
      <patternFill patternType="solid">
        <fgColor rgb="FFE65100"/>
        <bgColor rgb="FFBE4B48"/>
      </patternFill>
    </fill>
    <fill>
      <patternFill patternType="solid">
        <fgColor rgb="FFD6E4F7"/>
        <bgColor rgb="FFE0F2F1"/>
      </patternFill>
    </fill>
    <fill>
      <patternFill patternType="solid">
        <fgColor rgb="FFF5F5F5"/>
        <bgColor rgb="FFEBF3FC"/>
      </patternFill>
    </fill>
    <fill>
      <patternFill patternType="solid">
        <fgColor rgb="FFC8E6C9"/>
        <bgColor rgb="FFD9D9D9"/>
      </patternFill>
    </fill>
    <fill>
      <patternFill patternType="solid">
        <fgColor rgb="FFFFFFFF"/>
        <bgColor rgb="FFF5F5F5"/>
      </patternFill>
    </fill>
    <fill>
      <patternFill patternType="solid">
        <fgColor rgb="FFFFF9C4"/>
        <bgColor rgb="FFF5F5F5"/>
      </patternFill>
    </fill>
    <fill>
      <patternFill patternType="solid">
        <fgColor rgb="FF2E5FA3"/>
        <bgColor rgb="FF426FA6"/>
      </patternFill>
    </fill>
    <fill>
      <patternFill patternType="solid">
        <fgColor rgb="FFE8F5E9"/>
        <bgColor rgb="FFE0F2F1"/>
      </patternFill>
    </fill>
    <fill>
      <patternFill patternType="solid">
        <fgColor rgb="FF1B5E20"/>
        <bgColor rgb="FF004D40"/>
      </patternFill>
    </fill>
    <fill>
      <patternFill patternType="solid">
        <fgColor rgb="FF4A148C"/>
        <bgColor rgb="FF1B2A4A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12" borderId="0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4" fillId="10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6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9" fontId="5" fillId="6" borderId="1" xfId="0" applyNumberFormat="1" applyFont="1" applyFill="1" applyBorder="1" applyAlignment="1">
      <alignment horizontal="center" vertical="center" wrapText="1"/>
    </xf>
    <xf numFmtId="4" fontId="5" fillId="6" borderId="1" xfId="0" applyNumberFormat="1" applyFont="1" applyFill="1" applyBorder="1" applyAlignment="1">
      <alignment horizontal="center" vertical="center" wrapText="1"/>
    </xf>
    <xf numFmtId="4" fontId="5" fillId="11" borderId="1" xfId="0" applyNumberFormat="1" applyFont="1" applyFill="1" applyBorder="1" applyAlignment="1">
      <alignment horizontal="center" vertical="center" wrapText="1"/>
    </xf>
    <xf numFmtId="10" fontId="5" fillId="11" borderId="1" xfId="0" applyNumberFormat="1" applyFont="1" applyFill="1" applyBorder="1" applyAlignment="1">
      <alignment horizontal="center" vertical="center" wrapText="1"/>
    </xf>
    <xf numFmtId="2" fontId="5" fillId="9" borderId="1" xfId="0" applyNumberFormat="1" applyFont="1" applyFill="1" applyBorder="1" applyAlignment="1">
      <alignment horizontal="center" vertical="center" wrapText="1"/>
    </xf>
    <xf numFmtId="4" fontId="5" fillId="7" borderId="1" xfId="0" applyNumberFormat="1" applyFont="1" applyFill="1" applyBorder="1" applyAlignment="1">
      <alignment horizontal="center" vertical="center" wrapText="1"/>
    </xf>
    <xf numFmtId="9" fontId="5" fillId="8" borderId="1" xfId="0" applyNumberFormat="1" applyFont="1" applyFill="1" applyBorder="1" applyAlignment="1">
      <alignment horizontal="center" vertical="center" wrapText="1"/>
    </xf>
    <xf numFmtId="4" fontId="5" fillId="8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9" fontId="6" fillId="9" borderId="1" xfId="0" applyNumberFormat="1" applyFont="1" applyFill="1" applyBorder="1" applyAlignment="1">
      <alignment horizontal="center" vertical="center" wrapText="1"/>
    </xf>
    <xf numFmtId="4" fontId="8" fillId="11" borderId="1" xfId="0" applyNumberFormat="1" applyFont="1" applyFill="1" applyBorder="1" applyAlignment="1">
      <alignment horizontal="center" vertical="center" wrapText="1"/>
    </xf>
    <xf numFmtId="0" fontId="3" fillId="1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B8238"/>
      <rgbColor rgb="FF9BBB59"/>
      <rgbColor rgb="FF0000FF"/>
      <rgbColor rgb="FFB3C992"/>
      <rgbColor rgb="FFD6E4F7"/>
      <rgbColor rgb="FF4A90D9"/>
      <rgbColor rgb="FFEBF3FC"/>
      <rgbColor rgb="FF1B5E20"/>
      <rgbColor rgb="FF000080"/>
      <rgbColor rgb="FF87A44B"/>
      <rgbColor rgb="FFC0504D"/>
      <rgbColor rgb="FF3D97AF"/>
      <rgbColor rgb="FFBDBDBD"/>
      <rgbColor rgb="FF878787"/>
      <rgbColor rgb="FF8EA5CA"/>
      <rgbColor rgb="FFAA433F"/>
      <rgbColor rgb="FFFFF9C4"/>
      <rgbColor rgb="FFE0F2F1"/>
      <rgbColor rgb="FF4A148C"/>
      <rgbColor rgb="FFF79646"/>
      <rgbColor rgb="FF2E5FA3"/>
      <rgbColor rgb="FFD4D4D4"/>
      <rgbColor rgb="FF000080"/>
      <rgbColor rgb="FFEDE7F6"/>
      <rgbColor rgb="FFD9D9D9"/>
      <rgbColor rgb="FF4F81BD"/>
      <rgbColor rgb="FF8064A2"/>
      <rgbColor rgb="FF800000"/>
      <rgbColor rgb="FF4A7EBB"/>
      <rgbColor rgb="FF0000FF"/>
      <rgbColor rgb="FF46AAC4"/>
      <rgbColor rgb="FFE8F5E9"/>
      <rgbColor rgb="FFC8E6C9"/>
      <rgbColor rgb="FFF5F5F5"/>
      <rgbColor rgb="FF9CDCFE"/>
      <rgbColor rgb="FFCC8F8E"/>
      <rgbColor rgb="FFC586C0"/>
      <rgbColor rgb="FFFFCDD2"/>
      <rgbColor rgb="FF426FA6"/>
      <rgbColor rgb="FF4BACC6"/>
      <rgbColor rgb="FF98B855"/>
      <rgbColor rgb="FFDCDCAA"/>
      <rgbColor rgb="FFF59240"/>
      <rgbColor rgb="FFE65100"/>
      <rgbColor rgb="FF6F568D"/>
      <rgbColor rgb="FFA596B9"/>
      <rgbColor rgb="FF1B2A4A"/>
      <rgbColor rgb="FF57A64A"/>
      <rgbColor rgb="FF004D40"/>
      <rgbColor rgb="FF424242"/>
      <rgbColor rgb="FFB71C1C"/>
      <rgbColor rgb="FFBE4B48"/>
      <rgbColor rgb="FF7D5FA0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K16"/>
  <sheetViews>
    <sheetView showGridLines="0" tabSelected="1" topLeftCell="A4" zoomScaleNormal="100" workbookViewId="0">
      <selection activeCell="D19" sqref="D19"/>
    </sheetView>
  </sheetViews>
  <sheetFormatPr defaultColWidth="8.7109375" defaultRowHeight="15" x14ac:dyDescent="0.25"/>
  <cols>
    <col min="1" max="1" width="18" style="4" customWidth="1"/>
    <col min="2" max="2" width="12" style="4" customWidth="1"/>
    <col min="3" max="3" width="16" style="4" customWidth="1"/>
    <col min="4" max="4" width="25" style="4" customWidth="1"/>
    <col min="5" max="5" width="16" style="4" customWidth="1"/>
    <col min="6" max="6" width="24" style="4" customWidth="1"/>
    <col min="7" max="7" width="18" style="4" customWidth="1"/>
    <col min="8" max="9" width="14" style="4" customWidth="1"/>
    <col min="10" max="10" width="16" style="4" customWidth="1"/>
  </cols>
  <sheetData>
    <row r="1" spans="1:11" ht="42" customHeight="1" x14ac:dyDescent="0.25">
      <c r="A1" s="28" t="s">
        <v>1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25.5" customHeight="1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36" customHeight="1" x14ac:dyDescent="0.25">
      <c r="A3" s="8" t="s">
        <v>0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10" t="s">
        <v>9</v>
      </c>
      <c r="I3" s="16" t="s">
        <v>10</v>
      </c>
      <c r="J3" s="10" t="s">
        <v>11</v>
      </c>
    </row>
    <row r="4" spans="1:11" ht="24" customHeight="1" x14ac:dyDescent="0.25">
      <c r="A4" s="11" t="s">
        <v>12</v>
      </c>
      <c r="B4" s="12">
        <v>11.9</v>
      </c>
      <c r="C4" s="17">
        <v>0.5</v>
      </c>
      <c r="D4" s="18">
        <v>275</v>
      </c>
      <c r="E4" s="12">
        <v>10</v>
      </c>
      <c r="F4" s="19">
        <f>E4*C4</f>
        <v>5</v>
      </c>
      <c r="G4" s="20">
        <f>F4/D4</f>
        <v>1.8181818181818181E-2</v>
      </c>
      <c r="H4" s="21">
        <f>D4/B4</f>
        <v>23.109243697478991</v>
      </c>
      <c r="I4" s="22">
        <f>F4/(0.12-0.05)</f>
        <v>71.428571428571431</v>
      </c>
      <c r="J4" s="14" t="str">
        <f>IF(D4&gt;I4,"Overvalued","Undervalued")</f>
        <v>Overvalued</v>
      </c>
    </row>
    <row r="5" spans="1:11" ht="24" customHeight="1" x14ac:dyDescent="0.25">
      <c r="A5" s="11" t="s">
        <v>13</v>
      </c>
      <c r="B5" s="13">
        <v>10.199999999999999</v>
      </c>
      <c r="C5" s="23">
        <v>0.22</v>
      </c>
      <c r="D5" s="24">
        <v>135</v>
      </c>
      <c r="E5" s="13">
        <v>10</v>
      </c>
      <c r="F5" s="19">
        <f>E5*C5</f>
        <v>2.2000000000000002</v>
      </c>
      <c r="G5" s="20">
        <f>F5/D5</f>
        <v>1.6296296296296298E-2</v>
      </c>
      <c r="H5" s="21">
        <f>D5/B5</f>
        <v>13.23529411764706</v>
      </c>
      <c r="I5" s="22">
        <f>F5/(0.12-0.05)</f>
        <v>31.428571428571434</v>
      </c>
      <c r="J5" s="15" t="str">
        <f>IF(D5&gt;I5,"Overvalued","Undervalued")</f>
        <v>Overvalued</v>
      </c>
    </row>
    <row r="6" spans="1:11" ht="24" customHeight="1" x14ac:dyDescent="0.25">
      <c r="A6" s="11" t="s">
        <v>14</v>
      </c>
      <c r="B6" s="12">
        <v>12</v>
      </c>
      <c r="C6" s="17">
        <v>0.25</v>
      </c>
      <c r="D6" s="18">
        <v>177.5</v>
      </c>
      <c r="E6" s="12">
        <v>10</v>
      </c>
      <c r="F6" s="19">
        <f>E6*C6</f>
        <v>2.5</v>
      </c>
      <c r="G6" s="20">
        <f>F6/D6</f>
        <v>1.4084507042253521E-2</v>
      </c>
      <c r="H6" s="21">
        <f>D6/B6</f>
        <v>14.791666666666666</v>
      </c>
      <c r="I6" s="22">
        <f>F6/(0.12-0.05)</f>
        <v>35.714285714285715</v>
      </c>
      <c r="J6" s="14" t="str">
        <f>IF(D6&gt;I6,"Overvalued","Undervalued")</f>
        <v>Overvalued</v>
      </c>
    </row>
    <row r="7" spans="1:11" ht="24" customHeight="1" x14ac:dyDescent="0.25">
      <c r="A7" s="11" t="s">
        <v>15</v>
      </c>
      <c r="B7" s="13">
        <v>20.100000000000001</v>
      </c>
      <c r="C7" s="23">
        <v>0.25</v>
      </c>
      <c r="D7" s="24">
        <v>205</v>
      </c>
      <c r="E7" s="13">
        <v>10</v>
      </c>
      <c r="F7" s="19">
        <f>E7*C7</f>
        <v>2.5</v>
      </c>
      <c r="G7" s="20">
        <f>F7/D7</f>
        <v>1.2195121951219513E-2</v>
      </c>
      <c r="H7" s="21">
        <f>D7/B7</f>
        <v>10.199004975124378</v>
      </c>
      <c r="I7" s="22">
        <f>F7/(0.12-0.05)</f>
        <v>35.714285714285715</v>
      </c>
      <c r="J7" s="15" t="str">
        <f>IF(D7&gt;I7,"Overvalued","Undervalued")</f>
        <v>Overvalued</v>
      </c>
    </row>
    <row r="8" spans="1:11" ht="19.5" customHeight="1" x14ac:dyDescent="0.25">
      <c r="A8" s="2" t="s">
        <v>16</v>
      </c>
      <c r="B8" s="2"/>
      <c r="C8" s="2"/>
      <c r="D8" s="2"/>
      <c r="E8" s="2"/>
      <c r="F8" s="2"/>
      <c r="G8" s="2"/>
      <c r="H8" s="2"/>
      <c r="I8" s="2"/>
      <c r="J8" s="2"/>
    </row>
    <row r="10" spans="1:11" ht="25.5" customHeight="1" x14ac:dyDescent="0.25">
      <c r="A10" s="1" t="s">
        <v>17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1.75" customHeight="1" x14ac:dyDescent="0.25">
      <c r="A11" s="11" t="s">
        <v>18</v>
      </c>
      <c r="B11" s="25" t="s">
        <v>19</v>
      </c>
      <c r="D11" s="11" t="s">
        <v>20</v>
      </c>
      <c r="E11" s="26">
        <v>0.12</v>
      </c>
    </row>
    <row r="12" spans="1:11" ht="27.75" customHeight="1" x14ac:dyDescent="0.25">
      <c r="A12" s="8" t="s">
        <v>21</v>
      </c>
      <c r="B12" s="8" t="s">
        <v>22</v>
      </c>
      <c r="C12" s="8" t="s">
        <v>23</v>
      </c>
      <c r="D12" s="9" t="s">
        <v>24</v>
      </c>
      <c r="E12" s="16" t="s">
        <v>25</v>
      </c>
      <c r="F12" s="10" t="s">
        <v>26</v>
      </c>
    </row>
    <row r="13" spans="1:11" ht="25.5" customHeight="1" x14ac:dyDescent="0.25">
      <c r="A13" s="11" t="s">
        <v>27</v>
      </c>
      <c r="B13" s="17">
        <v>0</v>
      </c>
      <c r="C13" s="18">
        <v>4</v>
      </c>
      <c r="D13" s="7" t="s">
        <v>28</v>
      </c>
      <c r="E13" s="27">
        <v>33.33</v>
      </c>
      <c r="F13" s="5" t="s">
        <v>29</v>
      </c>
    </row>
    <row r="14" spans="1:11" ht="25.5" customHeight="1" x14ac:dyDescent="0.25">
      <c r="A14" s="11" t="s">
        <v>30</v>
      </c>
      <c r="B14" s="23">
        <v>0.05</v>
      </c>
      <c r="C14" s="24">
        <v>4.2</v>
      </c>
      <c r="D14" s="7" t="s">
        <v>31</v>
      </c>
      <c r="E14" s="27">
        <v>60</v>
      </c>
      <c r="F14" s="6" t="s">
        <v>32</v>
      </c>
    </row>
    <row r="15" spans="1:11" ht="25.5" customHeight="1" x14ac:dyDescent="0.25">
      <c r="A15" s="11" t="s">
        <v>33</v>
      </c>
      <c r="B15" s="17">
        <v>0.08</v>
      </c>
      <c r="C15" s="18">
        <v>4.32</v>
      </c>
      <c r="D15" s="7" t="s">
        <v>34</v>
      </c>
      <c r="E15" s="27">
        <v>108</v>
      </c>
      <c r="F15" s="5" t="s">
        <v>35</v>
      </c>
    </row>
    <row r="16" spans="1:11" ht="19.5" customHeight="1" x14ac:dyDescent="0.25">
      <c r="A16" s="2" t="s">
        <v>36</v>
      </c>
      <c r="B16" s="2"/>
      <c r="C16" s="2"/>
      <c r="D16" s="2"/>
      <c r="E16" s="2"/>
      <c r="F16" s="2"/>
      <c r="G16" s="2"/>
      <c r="H16" s="2"/>
      <c r="I16" s="2"/>
      <c r="J16" s="2"/>
    </row>
  </sheetData>
  <mergeCells count="5">
    <mergeCell ref="A1:K1"/>
    <mergeCell ref="A2:K2"/>
    <mergeCell ref="A8:J8"/>
    <mergeCell ref="A10:K10"/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Ex3 Share Bond Valuation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Welcome</cp:lastModifiedBy>
  <cp:revision>5</cp:revision>
  <dcterms:created xsi:type="dcterms:W3CDTF">2026-04-11T03:59:57Z</dcterms:created>
  <dcterms:modified xsi:type="dcterms:W3CDTF">2026-04-19T15:47:16Z</dcterms:modified>
  <dc:language>en-US</dc:language>
</cp:coreProperties>
</file>