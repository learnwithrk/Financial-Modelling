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905" tabRatio="500"/>
  </bookViews>
  <sheets>
    <sheet name="Ex4 IF Function DE Ratio" sheetId="5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5" l="1"/>
  <c r="E6" i="5"/>
  <c r="E7" i="5"/>
  <c r="E4" i="5"/>
  <c r="H5" i="5"/>
  <c r="H6" i="5"/>
  <c r="H7" i="5"/>
  <c r="H4" i="5"/>
  <c r="H16" i="5"/>
  <c r="E16" i="5"/>
  <c r="H12" i="5"/>
  <c r="E12" i="5"/>
  <c r="F7" i="5"/>
  <c r="D7" i="5"/>
  <c r="F6" i="5"/>
  <c r="D6" i="5"/>
  <c r="F5" i="5"/>
  <c r="D5" i="5"/>
  <c r="F4" i="5"/>
  <c r="D4" i="5"/>
  <c r="H15" i="5" s="1"/>
  <c r="E11" i="5" l="1"/>
  <c r="E13" i="5"/>
  <c r="E15" i="5"/>
  <c r="H11" i="5"/>
  <c r="H13" i="5"/>
  <c r="E14" i="5" l="1"/>
  <c r="H14" i="5"/>
</calcChain>
</file>

<file path=xl/sharedStrings.xml><?xml version="1.0" encoding="utf-8"?>
<sst xmlns="http://schemas.openxmlformats.org/spreadsheetml/2006/main" count="29" uniqueCount="28">
  <si>
    <t>Company</t>
  </si>
  <si>
    <t>EXERCISE 4 — IF Function: D/E Ratio Risk Analysis + COUNT Functions</t>
  </si>
  <si>
    <t>📋 COMPANY DEBT-EQUITY DATA</t>
  </si>
  <si>
    <t>Debt (Rs)</t>
  </si>
  <si>
    <t>Equity (Rs)</t>
  </si>
  <si>
    <t>D/E Ratio</t>
  </si>
  <si>
    <t>Risk Level
(IF Formula)</t>
  </si>
  <si>
    <t>Leverage
Category</t>
  </si>
  <si>
    <t>Interest
Coverage*</t>
  </si>
  <si>
    <t>Investment
Recommendation</t>
  </si>
  <si>
    <t>Company A</t>
  </si>
  <si>
    <t>Company B</t>
  </si>
  <si>
    <t>Company C</t>
  </si>
  <si>
    <t>Company D</t>
  </si>
  <si>
    <t>📊 COUNT FUNCTIONS ANALYSIS</t>
  </si>
  <si>
    <t>COUNT</t>
  </si>
  <si>
    <t>Count Numeric D/E values</t>
  </si>
  <si>
    <t>COUNTA</t>
  </si>
  <si>
    <t>Count all non-blank cells</t>
  </si>
  <si>
    <t>COUNTIF</t>
  </si>
  <si>
    <t>Companies with D/E &gt; 1</t>
  </si>
  <si>
    <t>High Risk companies</t>
  </si>
  <si>
    <t>COUNTIFS</t>
  </si>
  <si>
    <t>D/E&gt;0.5 AND D/E&lt;1.2</t>
  </si>
  <si>
    <t>COUNTBLANK</t>
  </si>
  <si>
    <t>Empty cells in data</t>
  </si>
  <si>
    <t>* IF Syntax: =IF(condition, value_if_true, value_if_false) | Nested IF: =IF(c1,v1,IF(c2,v2,IF(c3,v3,v4)))</t>
  </si>
  <si>
    <t>* D/E Risk: &lt;0.5=Low | 0.5–1.0=Medium | 1.0–1.5=High | &gt;1.5=Very High | Formula: =B/C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</si>
</sst>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1B2A4A"/>
      <name val="Arial"/>
      <family val="2"/>
    </font>
    <font>
      <sz val="9"/>
      <color rgb="FF424242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424242"/>
      <name val="Arial"/>
      <family val="2"/>
    </font>
    <font>
      <i/>
      <sz val="9"/>
      <color rgb="FF1B2A4A"/>
      <name val="Arial"/>
      <family val="2"/>
    </font>
    <font>
      <b/>
      <sz val="11"/>
      <name val="Arial"/>
      <family val="2"/>
    </font>
    <font>
      <sz val="10"/>
      <color rgb="FF1B2A4A"/>
      <name val="Arial"/>
      <family val="2"/>
    </font>
    <font>
      <b/>
      <sz val="12"/>
      <color rgb="FF1B2A4A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4A90D9"/>
        <bgColor rgb="FF4F81BD"/>
      </patternFill>
    </fill>
    <fill>
      <patternFill patternType="solid">
        <fgColor rgb="FFE65100"/>
        <bgColor rgb="FFBE4B48"/>
      </patternFill>
    </fill>
    <fill>
      <patternFill patternType="solid">
        <fgColor rgb="FFD6E4F7"/>
        <bgColor rgb="FFE0F2F1"/>
      </patternFill>
    </fill>
    <fill>
      <patternFill patternType="solid">
        <fgColor rgb="FFF5F5F5"/>
        <bgColor rgb="FFEBF3FC"/>
      </patternFill>
    </fill>
    <fill>
      <patternFill patternType="solid">
        <fgColor rgb="FFC8E6C9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FFCDD2"/>
        <bgColor rgb="FFD9D9D9"/>
      </patternFill>
    </fill>
    <fill>
      <patternFill patternType="solid">
        <fgColor rgb="FF2E5FA3"/>
        <bgColor rgb="FF426FA6"/>
      </patternFill>
    </fill>
    <fill>
      <patternFill patternType="solid">
        <fgColor rgb="FFE8F5E9"/>
        <bgColor rgb="FFE0F2F1"/>
      </patternFill>
    </fill>
    <fill>
      <patternFill patternType="solid">
        <fgColor rgb="FF1B5E20"/>
        <bgColor rgb="FF004D40"/>
      </patternFill>
    </fill>
    <fill>
      <patternFill patternType="solid">
        <fgColor rgb="FF004D40"/>
        <bgColor rgb="FF1B5E20"/>
      </patternFill>
    </fill>
    <fill>
      <patternFill patternType="solid">
        <fgColor rgb="FF4A148C"/>
        <bgColor rgb="FF1B2A4A"/>
      </patternFill>
    </fill>
    <fill>
      <patternFill patternType="solid">
        <fgColor rgb="FFB71C1C"/>
        <bgColor rgb="FFAA433F"/>
      </patternFill>
    </fill>
    <fill>
      <patternFill patternType="solid">
        <fgColor rgb="FFE0F2F1"/>
        <b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9" borderId="1" xfId="0" applyFont="1" applyFill="1" applyBorder="1" applyAlignment="1">
      <alignment horizontal="left" vertical="center" wrapText="1"/>
    </xf>
    <xf numFmtId="0" fontId="5" fillId="11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righ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2" fontId="8" fillId="7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8" fillId="10" borderId="1" xfId="0" applyNumberFormat="1" applyFont="1" applyFill="1" applyBorder="1" applyAlignment="1">
      <alignment horizontal="center" vertical="center" wrapText="1"/>
    </xf>
    <xf numFmtId="2" fontId="6" fillId="8" borderId="1" xfId="0" applyNumberFormat="1" applyFont="1" applyFill="1" applyBorder="1" applyAlignment="1">
      <alignment horizontal="center" vertical="center" wrapText="1"/>
    </xf>
    <xf numFmtId="2" fontId="8" fillId="9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4" fillId="16" borderId="0" xfId="0" applyFont="1" applyFill="1" applyBorder="1" applyAlignment="1">
      <alignment horizontal="center" vertical="center" wrapText="1"/>
    </xf>
    <xf numFmtId="0" fontId="5" fillId="14" borderId="0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B8238"/>
      <rgbColor rgb="FF9BBB59"/>
      <rgbColor rgb="FF0000FF"/>
      <rgbColor rgb="FFB3C992"/>
      <rgbColor rgb="FFD6E4F7"/>
      <rgbColor rgb="FF4A90D9"/>
      <rgbColor rgb="FFEBF3FC"/>
      <rgbColor rgb="FF1B5E20"/>
      <rgbColor rgb="FF000080"/>
      <rgbColor rgb="FF87A44B"/>
      <rgbColor rgb="FFC0504D"/>
      <rgbColor rgb="FF3D97AF"/>
      <rgbColor rgb="FFBDBDBD"/>
      <rgbColor rgb="FF878787"/>
      <rgbColor rgb="FF8EA5CA"/>
      <rgbColor rgb="FFAA433F"/>
      <rgbColor rgb="FFFFF9C4"/>
      <rgbColor rgb="FFE0F2F1"/>
      <rgbColor rgb="FF4A148C"/>
      <rgbColor rgb="FFF79646"/>
      <rgbColor rgb="FF2E5FA3"/>
      <rgbColor rgb="FFD4D4D4"/>
      <rgbColor rgb="FF000080"/>
      <rgbColor rgb="FFEDE7F6"/>
      <rgbColor rgb="FFD9D9D9"/>
      <rgbColor rgb="FF4F81BD"/>
      <rgbColor rgb="FF8064A2"/>
      <rgbColor rgb="FF800000"/>
      <rgbColor rgb="FF4A7EBB"/>
      <rgbColor rgb="FF0000FF"/>
      <rgbColor rgb="FF46AAC4"/>
      <rgbColor rgb="FFE8F5E9"/>
      <rgbColor rgb="FFC8E6C9"/>
      <rgbColor rgb="FFF5F5F5"/>
      <rgbColor rgb="FF9CDCFE"/>
      <rgbColor rgb="FFCC8F8E"/>
      <rgbColor rgb="FFC586C0"/>
      <rgbColor rgb="FFFFCDD2"/>
      <rgbColor rgb="FF426FA6"/>
      <rgbColor rgb="FF4BACC6"/>
      <rgbColor rgb="FF98B855"/>
      <rgbColor rgb="FFDCDCAA"/>
      <rgbColor rgb="FFF59240"/>
      <rgbColor rgb="FFE65100"/>
      <rgbColor rgb="FF6F568D"/>
      <rgbColor rgb="FFA596B9"/>
      <rgbColor rgb="FF1B2A4A"/>
      <rgbColor rgb="FF57A64A"/>
      <rgbColor rgb="FF004D40"/>
      <rgbColor rgb="FF424242"/>
      <rgbColor rgb="FFB71C1C"/>
      <rgbColor rgb="FFBE4B48"/>
      <rgbColor rgb="FF7D5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J20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7" sqref="C7"/>
    </sheetView>
  </sheetViews>
  <sheetFormatPr defaultColWidth="8.7109375" defaultRowHeight="15" x14ac:dyDescent="0.25"/>
  <cols>
    <col min="1" max="1" width="16" style="3" customWidth="1"/>
    <col min="2" max="3" width="13" style="3" customWidth="1"/>
    <col min="4" max="4" width="11" style="3" customWidth="1"/>
    <col min="5" max="5" width="22" style="3" customWidth="1"/>
    <col min="6" max="6" width="17" style="3" customWidth="1"/>
    <col min="7" max="7" width="12" style="3" customWidth="1"/>
    <col min="8" max="8" width="22" style="3" customWidth="1"/>
  </cols>
  <sheetData>
    <row r="1" spans="1:10" ht="42" customHeight="1" x14ac:dyDescent="0.25">
      <c r="A1" s="23" t="s">
        <v>1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5.5" customHeight="1" x14ac:dyDescent="0.25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</row>
    <row r="3" spans="1:10" ht="36" customHeight="1" x14ac:dyDescent="0.25">
      <c r="A3" s="4" t="s">
        <v>0</v>
      </c>
      <c r="B3" s="4" t="s">
        <v>3</v>
      </c>
      <c r="C3" s="4" t="s">
        <v>4</v>
      </c>
      <c r="D3" s="5" t="s">
        <v>5</v>
      </c>
      <c r="E3" s="15" t="s">
        <v>6</v>
      </c>
      <c r="F3" s="6" t="s">
        <v>7</v>
      </c>
      <c r="G3" s="14" t="s">
        <v>8</v>
      </c>
      <c r="H3" s="16" t="s">
        <v>9</v>
      </c>
    </row>
    <row r="4" spans="1:10" ht="25.5" customHeight="1" x14ac:dyDescent="0.25">
      <c r="A4" s="7" t="s">
        <v>10</v>
      </c>
      <c r="B4" s="11">
        <v>500</v>
      </c>
      <c r="C4" s="11">
        <v>1000</v>
      </c>
      <c r="D4" s="17">
        <f>B4/C4</f>
        <v>0.5</v>
      </c>
      <c r="E4" s="12" t="str">
        <f>IF(D4&gt;1.5,"Very High",IF(D4&gt;1,"High",IF(D4&gt;0.5,"Medium","Low")))</f>
        <v>Low</v>
      </c>
      <c r="F4" s="9" t="str">
        <f>IF(D4&gt;1,"Over-Leveraged","Under-Leveraged")</f>
        <v>Under-Leveraged</v>
      </c>
      <c r="G4" s="18">
        <v>4</v>
      </c>
      <c r="H4" s="9" t="str">
        <f>IF(AND(D4&lt;1,G4&gt;2)," BUY"," CAUTION")</f>
        <v xml:space="preserve"> BUY</v>
      </c>
    </row>
    <row r="5" spans="1:10" ht="25.5" customHeight="1" x14ac:dyDescent="0.25">
      <c r="A5" s="7" t="s">
        <v>11</v>
      </c>
      <c r="B5" s="13">
        <v>1200</v>
      </c>
      <c r="C5" s="13">
        <v>800</v>
      </c>
      <c r="D5" s="19">
        <f>B5/C5</f>
        <v>1.5</v>
      </c>
      <c r="E5" s="12" t="str">
        <f t="shared" ref="E5:E7" si="0">IF(D5&gt;1.5,"Very High",IF(D5&gt;1,"High",IF(D5&gt;0.5,"Medium","Low")))</f>
        <v>High</v>
      </c>
      <c r="F5" s="10" t="str">
        <f>IF(D5&gt;1,"Over-Leveraged","Under-Leveraged")</f>
        <v>Over-Leveraged</v>
      </c>
      <c r="G5" s="20">
        <v>1.33</v>
      </c>
      <c r="H5" s="9" t="str">
        <f t="shared" ref="H5:H7" si="1">IF(AND(D5&lt;1,G5&gt;2)," BUY"," CAUTION")</f>
        <v xml:space="preserve"> CAUTION</v>
      </c>
    </row>
    <row r="6" spans="1:10" ht="25.5" customHeight="1" x14ac:dyDescent="0.25">
      <c r="A6" s="7" t="s">
        <v>12</v>
      </c>
      <c r="B6" s="11">
        <v>300</v>
      </c>
      <c r="C6" s="11">
        <v>1500</v>
      </c>
      <c r="D6" s="17">
        <f>B6/C6</f>
        <v>0.2</v>
      </c>
      <c r="E6" s="12" t="str">
        <f t="shared" si="0"/>
        <v>Low</v>
      </c>
      <c r="F6" s="9" t="str">
        <f>IF(D6&gt;1,"Over-Leveraged","Under-Leveraged")</f>
        <v>Under-Leveraged</v>
      </c>
      <c r="G6" s="18">
        <v>10</v>
      </c>
      <c r="H6" s="9" t="str">
        <f t="shared" si="1"/>
        <v xml:space="preserve"> BUY</v>
      </c>
    </row>
    <row r="7" spans="1:10" ht="25.5" customHeight="1" x14ac:dyDescent="0.25">
      <c r="A7" s="7" t="s">
        <v>13</v>
      </c>
      <c r="B7" s="13">
        <v>700</v>
      </c>
      <c r="C7" s="13">
        <v>1000</v>
      </c>
      <c r="D7" s="21">
        <f>B7/C7</f>
        <v>0.7</v>
      </c>
      <c r="E7" s="12" t="str">
        <f t="shared" si="0"/>
        <v>Medium</v>
      </c>
      <c r="F7" s="10" t="str">
        <f>IF(D7&gt;1,"Over-Leveraged","Under-Leveraged")</f>
        <v>Under-Leveraged</v>
      </c>
      <c r="G7" s="20">
        <v>2.86</v>
      </c>
      <c r="H7" s="9" t="str">
        <f t="shared" si="1"/>
        <v xml:space="preserve"> BUY</v>
      </c>
    </row>
    <row r="9" spans="1:10" ht="25.5" customHeight="1" x14ac:dyDescent="0.25">
      <c r="A9" s="24" t="s">
        <v>14</v>
      </c>
      <c r="B9" s="24"/>
      <c r="C9" s="24"/>
      <c r="D9" s="24"/>
      <c r="E9" s="24"/>
      <c r="F9" s="24"/>
      <c r="G9" s="24"/>
      <c r="H9" s="24"/>
      <c r="I9" s="24"/>
      <c r="J9" s="24"/>
    </row>
    <row r="11" spans="1:10" ht="24" customHeight="1" x14ac:dyDescent="0.25">
      <c r="A11" s="8" t="s">
        <v>15</v>
      </c>
      <c r="B11" s="25" t="s">
        <v>16</v>
      </c>
      <c r="C11" s="25"/>
      <c r="D11" s="25"/>
      <c r="E11" s="26">
        <f>COUNT(D4:D7)</f>
        <v>4</v>
      </c>
      <c r="F11" s="26"/>
      <c r="G11" s="26"/>
      <c r="H11" s="22">
        <f>COUNT(D4:D7)</f>
        <v>4</v>
      </c>
    </row>
    <row r="12" spans="1:10" ht="24" customHeight="1" x14ac:dyDescent="0.25">
      <c r="A12" s="8" t="s">
        <v>17</v>
      </c>
      <c r="B12" s="25" t="s">
        <v>18</v>
      </c>
      <c r="C12" s="25"/>
      <c r="D12" s="25"/>
      <c r="E12" s="26">
        <f>COUNTA(A4:A7)</f>
        <v>4</v>
      </c>
      <c r="F12" s="26"/>
      <c r="G12" s="26"/>
      <c r="H12" s="22">
        <f>COUNTA(A4:A7)</f>
        <v>4</v>
      </c>
    </row>
    <row r="13" spans="1:10" ht="24" customHeight="1" x14ac:dyDescent="0.25">
      <c r="A13" s="8" t="s">
        <v>19</v>
      </c>
      <c r="B13" s="25" t="s">
        <v>20</v>
      </c>
      <c r="C13" s="25"/>
      <c r="D13" s="25"/>
      <c r="E13" s="26">
        <f>COUNTIF(D4:D7,"&gt;1")</f>
        <v>1</v>
      </c>
      <c r="F13" s="26"/>
      <c r="G13" s="26"/>
      <c r="H13" s="22">
        <f>COUNTIF(D4:D7,"&gt;1")</f>
        <v>1</v>
      </c>
    </row>
    <row r="14" spans="1:10" ht="21.75" customHeight="1" x14ac:dyDescent="0.25">
      <c r="A14" s="8" t="s">
        <v>19</v>
      </c>
      <c r="B14" s="25" t="s">
        <v>21</v>
      </c>
      <c r="C14" s="25"/>
      <c r="D14" s="25"/>
      <c r="E14" s="26">
        <f>COUNTIF(E4:E7,"*High*")</f>
        <v>1</v>
      </c>
      <c r="F14" s="26"/>
      <c r="G14" s="26"/>
      <c r="H14" s="22">
        <f>COUNTIF(E4:E7,"*High*")</f>
        <v>1</v>
      </c>
    </row>
    <row r="15" spans="1:10" ht="21.75" customHeight="1" x14ac:dyDescent="0.25">
      <c r="A15" s="8" t="s">
        <v>22</v>
      </c>
      <c r="B15" s="25" t="s">
        <v>23</v>
      </c>
      <c r="C15" s="25"/>
      <c r="D15" s="25"/>
      <c r="E15" s="26">
        <f>COUNTIFS(D4:D7,"&gt;0.5",D4:D7,"&lt;1.2")</f>
        <v>1</v>
      </c>
      <c r="F15" s="26"/>
      <c r="G15" s="26"/>
      <c r="H15" s="22">
        <f>COUNTIFS(D4:D7,"&gt;0.5",D4:D7,"&lt;1.2")</f>
        <v>1</v>
      </c>
    </row>
    <row r="16" spans="1:10" ht="21.75" customHeight="1" x14ac:dyDescent="0.25">
      <c r="A16" s="8" t="s">
        <v>24</v>
      </c>
      <c r="B16" s="25" t="s">
        <v>25</v>
      </c>
      <c r="C16" s="25"/>
      <c r="D16" s="25"/>
      <c r="E16" s="26">
        <f>COUNTBLANK(B4:C7)</f>
        <v>0</v>
      </c>
      <c r="F16" s="26"/>
      <c r="G16" s="26"/>
      <c r="H16" s="22">
        <f>COUNTBLANK(B4:C7)</f>
        <v>0</v>
      </c>
    </row>
    <row r="17" spans="1:10" ht="21.75" customHeight="1" x14ac:dyDescent="0.25">
      <c r="A17" s="1" t="s">
        <v>26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1.75" customHeight="1" x14ac:dyDescent="0.25">
      <c r="A18" s="27" t="s">
        <v>27</v>
      </c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21.75" customHeight="1" x14ac:dyDescent="0.25"/>
    <row r="20" spans="1:10" ht="21.75" customHeight="1" x14ac:dyDescent="0.25"/>
  </sheetData>
  <mergeCells count="17">
    <mergeCell ref="A18:J18"/>
    <mergeCell ref="B15:D15"/>
    <mergeCell ref="E15:G15"/>
    <mergeCell ref="B16:D16"/>
    <mergeCell ref="E16:G16"/>
    <mergeCell ref="A17:J17"/>
    <mergeCell ref="B12:D12"/>
    <mergeCell ref="E12:G12"/>
    <mergeCell ref="B13:D13"/>
    <mergeCell ref="E13:G13"/>
    <mergeCell ref="B14:D14"/>
    <mergeCell ref="E14:G14"/>
    <mergeCell ref="A1:J1"/>
    <mergeCell ref="A2:J2"/>
    <mergeCell ref="A9:J9"/>
    <mergeCell ref="B11:D11"/>
    <mergeCell ref="E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 IF Function DE Ratio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Welcome</cp:lastModifiedBy>
  <cp:revision>5</cp:revision>
  <dcterms:created xsi:type="dcterms:W3CDTF">2026-04-11T03:59:57Z</dcterms:created>
  <dcterms:modified xsi:type="dcterms:W3CDTF">2026-04-20T14:40:39Z</dcterms:modified>
  <dc:language>en-US</dc:language>
</cp:coreProperties>
</file>