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cuments\Git\Financial-Modelling\"/>
    </mc:Choice>
  </mc:AlternateContent>
  <bookViews>
    <workbookView xWindow="0" yWindow="0" windowWidth="19200" windowHeight="7905"/>
  </bookViews>
  <sheets>
    <sheet name="Sales Data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G8" i="1" l="1"/>
  <c r="J8" i="1" s="1"/>
  <c r="F8" i="1"/>
  <c r="E8" i="1"/>
  <c r="D8" i="1"/>
  <c r="C8" i="1"/>
  <c r="B8" i="1"/>
  <c r="J7" i="1"/>
  <c r="I7" i="1"/>
  <c r="H7" i="1"/>
  <c r="J6" i="1"/>
  <c r="I6" i="1"/>
  <c r="H6" i="1"/>
  <c r="J5" i="1"/>
  <c r="I5" i="1"/>
  <c r="H5" i="1"/>
  <c r="J4" i="1"/>
  <c r="I4" i="1"/>
  <c r="I8" i="1" s="1"/>
  <c r="H4" i="1"/>
  <c r="H8" i="1" s="1"/>
</calcChain>
</file>

<file path=xl/sharedStrings.xml><?xml version="1.0" encoding="utf-8"?>
<sst xmlns="http://schemas.openxmlformats.org/spreadsheetml/2006/main" count="16" uniqueCount="16">
  <si>
    <t>South</t>
  </si>
  <si>
    <t>Total</t>
  </si>
  <si>
    <t>SALES DATA ANALYSIS</t>
  </si>
  <si>
    <t>Region / Year</t>
  </si>
  <si>
    <t>2015</t>
  </si>
  <si>
    <t>2016</t>
  </si>
  <si>
    <t>2017</t>
  </si>
  <si>
    <t>2018</t>
  </si>
  <si>
    <t>2019</t>
  </si>
  <si>
    <t>2020</t>
  </si>
  <si>
    <t>Avg</t>
  </si>
  <si>
    <t>Growth %</t>
  </si>
  <si>
    <t>North</t>
  </si>
  <si>
    <t>East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</si>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</sst>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5" fillId="0" borderId="1" xfId="0" applyFont="1" applyBorder="1"/>
    <xf numFmtId="9" fontId="5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DATA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'[1]Ex 1'!$C$4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1'!$C$5:$C$8</c:f>
              <c:numCache>
                <c:formatCode>General</c:formatCode>
                <c:ptCount val="4"/>
                <c:pt idx="0">
                  <c:v>42000</c:v>
                </c:pt>
                <c:pt idx="1">
                  <c:v>35000</c:v>
                </c:pt>
                <c:pt idx="2">
                  <c:v>28000</c:v>
                </c:pt>
                <c:pt idx="3">
                  <c:v>32000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'[1]Ex 1'!$D$4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1'!$D$5:$D$8</c:f>
              <c:numCache>
                <c:formatCode>General</c:formatCode>
                <c:ptCount val="4"/>
                <c:pt idx="0">
                  <c:v>46800</c:v>
                </c:pt>
                <c:pt idx="1">
                  <c:v>38500</c:v>
                </c:pt>
                <c:pt idx="2">
                  <c:v>31200</c:v>
                </c:pt>
                <c:pt idx="3">
                  <c:v>35800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'[1]Ex 1'!$E$4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1'!$E$5:$E$8</c:f>
              <c:numCache>
                <c:formatCode>General</c:formatCode>
                <c:ptCount val="4"/>
                <c:pt idx="0">
                  <c:v>51200</c:v>
                </c:pt>
                <c:pt idx="1">
                  <c:v>41200</c:v>
                </c:pt>
                <c:pt idx="2">
                  <c:v>35600</c:v>
                </c:pt>
                <c:pt idx="3">
                  <c:v>40100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'[1]Ex 1'!$F$4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1'!$F$5:$F$8</c:f>
              <c:numCache>
                <c:formatCode>General</c:formatCode>
                <c:ptCount val="4"/>
                <c:pt idx="0">
                  <c:v>55600</c:v>
                </c:pt>
                <c:pt idx="1">
                  <c:v>44800</c:v>
                </c:pt>
                <c:pt idx="2">
                  <c:v>39400</c:v>
                </c:pt>
                <c:pt idx="3">
                  <c:v>44200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'[1]Ex 1'!$G$4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1'!$G$5:$G$8</c:f>
              <c:numCache>
                <c:formatCode>General</c:formatCode>
                <c:ptCount val="4"/>
                <c:pt idx="0">
                  <c:v>60100</c:v>
                </c:pt>
                <c:pt idx="1">
                  <c:v>48500</c:v>
                </c:pt>
                <c:pt idx="2">
                  <c:v>43800</c:v>
                </c:pt>
                <c:pt idx="3">
                  <c:v>49600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'[1]Ex 1'!$H$4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1'!$H$5:$H$8</c:f>
              <c:numCache>
                <c:formatCode>General</c:formatCode>
                <c:ptCount val="4"/>
                <c:pt idx="0">
                  <c:v>65400</c:v>
                </c:pt>
                <c:pt idx="1">
                  <c:v>53200</c:v>
                </c:pt>
                <c:pt idx="2">
                  <c:v>49100</c:v>
                </c:pt>
                <c:pt idx="3">
                  <c:v>55300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'[1]Ex 1'!$I$4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1'!$I$5:$I$8</c:f>
              <c:numCache>
                <c:formatCode>General</c:formatCode>
                <c:ptCount val="4"/>
                <c:pt idx="0">
                  <c:v>321100</c:v>
                </c:pt>
                <c:pt idx="1">
                  <c:v>261200</c:v>
                </c:pt>
                <c:pt idx="2">
                  <c:v>227100</c:v>
                </c:pt>
                <c:pt idx="3">
                  <c:v>257000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'[1]Ex 1'!$J$4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1'!$J$5:$J$8</c:f>
              <c:numCache>
                <c:formatCode>General</c:formatCode>
                <c:ptCount val="4"/>
                <c:pt idx="0">
                  <c:v>53516.666666666664</c:v>
                </c:pt>
                <c:pt idx="1">
                  <c:v>43533.333333333336</c:v>
                </c:pt>
                <c:pt idx="2">
                  <c:v>37850</c:v>
                </c:pt>
                <c:pt idx="3">
                  <c:v>42833.333333333336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'[1]Ex 1'!$K$4</c:f>
              <c:strCache>
                <c:ptCount val="1"/>
                <c:pt idx="0">
                  <c:v>Growth 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'[1]Ex 1'!$B$5:$B$8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'[1]Ex 1'!$K$5:$K$8</c:f>
              <c:numCache>
                <c:formatCode>0%</c:formatCode>
                <c:ptCount val="4"/>
                <c:pt idx="0">
                  <c:v>0.55714285714285716</c:v>
                </c:pt>
                <c:pt idx="1">
                  <c:v>0.52</c:v>
                </c:pt>
                <c:pt idx="2">
                  <c:v>0.75357142857142856</c:v>
                </c:pt>
                <c:pt idx="3">
                  <c:v>0.72812500000000002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04265056"/>
        <c:axId val="-604270496"/>
      </c:lineChart>
      <c:catAx>
        <c:axId val="-6042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4270496"/>
        <c:crosses val="autoZero"/>
        <c:auto val="1"/>
        <c:lblAlgn val="ctr"/>
        <c:lblOffset val="100"/>
        <c:noMultiLvlLbl val="0"/>
      </c:catAx>
      <c:valAx>
        <c:axId val="-6042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42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394607</xdr:colOff>
      <xdr:row>9</xdr:row>
      <xdr:rowOff>40140</xdr:rowOff>
    </xdr:from>
    <xdr:to>
      <xdr:col>9</xdr:col>
      <xdr:colOff>6804</xdr:colOff>
      <xdr:row>24</xdr:row>
      <xdr:rowOff>149679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elcome/Downloads/25COP106_Financial%20Modelling%20-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 1"/>
      <sheetName val="Ex 2"/>
      <sheetName val="Ex 3"/>
      <sheetName val="Ex_3"/>
      <sheetName val="Ex 4"/>
      <sheetName val="Ex_4"/>
      <sheetName val="Ex 5"/>
      <sheetName val="Ex_5"/>
      <sheetName val="Ex 6"/>
      <sheetName val="Ex_6"/>
      <sheetName val="Ex 7"/>
      <sheetName val="Ex_7"/>
      <sheetName val="Ex 8"/>
      <sheetName val="Ex 9"/>
      <sheetName val="Ex 10"/>
      <sheetName val="Ex_10"/>
      <sheetName val="Ex 11"/>
      <sheetName val="Ex 12"/>
      <sheetName val="Ex_12"/>
      <sheetName val="Ex 13"/>
      <sheetName val="Ex_13"/>
      <sheetName val="Ex 14"/>
      <sheetName val="Ex 14a"/>
      <sheetName val="Ex 15"/>
      <sheetName val="Ex_15"/>
      <sheetName val="Ex 16"/>
      <sheetName val="Ex 17"/>
      <sheetName val="Ex 18"/>
      <sheetName val="Ex_18"/>
    </sheetNames>
    <sheetDataSet>
      <sheetData sheetId="0">
        <row r="4">
          <cell r="C4" t="str">
            <v>2015</v>
          </cell>
          <cell r="D4" t="str">
            <v>2016</v>
          </cell>
          <cell r="E4" t="str">
            <v>2017</v>
          </cell>
          <cell r="F4" t="str">
            <v>2018</v>
          </cell>
          <cell r="G4" t="str">
            <v>2019</v>
          </cell>
          <cell r="H4" t="str">
            <v>2020</v>
          </cell>
          <cell r="I4" t="str">
            <v>Total</v>
          </cell>
          <cell r="J4" t="str">
            <v>Avg</v>
          </cell>
          <cell r="K4" t="str">
            <v>Growth %</v>
          </cell>
        </row>
        <row r="5">
          <cell r="B5" t="str">
            <v>North</v>
          </cell>
          <cell r="C5">
            <v>42000</v>
          </cell>
          <cell r="D5">
            <v>46800</v>
          </cell>
          <cell r="E5">
            <v>51200</v>
          </cell>
          <cell r="F5">
            <v>55600</v>
          </cell>
          <cell r="G5">
            <v>60100</v>
          </cell>
          <cell r="H5">
            <v>65400</v>
          </cell>
          <cell r="I5">
            <v>321100</v>
          </cell>
          <cell r="J5">
            <v>53516.666666666664</v>
          </cell>
          <cell r="K5">
            <v>0.55714285714285716</v>
          </cell>
        </row>
        <row r="6">
          <cell r="B6" t="str">
            <v>South</v>
          </cell>
          <cell r="C6">
            <v>35000</v>
          </cell>
          <cell r="D6">
            <v>38500</v>
          </cell>
          <cell r="E6">
            <v>41200</v>
          </cell>
          <cell r="F6">
            <v>44800</v>
          </cell>
          <cell r="G6">
            <v>48500</v>
          </cell>
          <cell r="H6">
            <v>53200</v>
          </cell>
          <cell r="I6">
            <v>261200</v>
          </cell>
          <cell r="J6">
            <v>43533.333333333336</v>
          </cell>
          <cell r="K6">
            <v>0.52</v>
          </cell>
        </row>
        <row r="7">
          <cell r="B7" t="str">
            <v>East</v>
          </cell>
          <cell r="C7">
            <v>28000</v>
          </cell>
          <cell r="D7">
            <v>31200</v>
          </cell>
          <cell r="E7">
            <v>35600</v>
          </cell>
          <cell r="F7">
            <v>39400</v>
          </cell>
          <cell r="G7">
            <v>43800</v>
          </cell>
          <cell r="H7">
            <v>49100</v>
          </cell>
          <cell r="I7">
            <v>227100</v>
          </cell>
          <cell r="J7">
            <v>37850</v>
          </cell>
          <cell r="K7">
            <v>0.75357142857142856</v>
          </cell>
        </row>
        <row r="8">
          <cell r="B8" t="str">
            <v>West</v>
          </cell>
          <cell r="C8">
            <v>32000</v>
          </cell>
          <cell r="D8">
            <v>35800</v>
          </cell>
          <cell r="E8">
            <v>40100</v>
          </cell>
          <cell r="F8">
            <v>44200</v>
          </cell>
          <cell r="G8">
            <v>49600</v>
          </cell>
          <cell r="H8">
            <v>55300</v>
          </cell>
          <cell r="I8">
            <v>257000</v>
          </cell>
          <cell r="J8">
            <v>42833.333333333336</v>
          </cell>
          <cell r="K8">
            <v>0.72812500000000002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L17" sqref="L17"/>
    </sheetView>
  </sheetViews>
  <sheetFormatPr defaultRowHeight="15" x14ac:dyDescent="0.25"/>
  <cols>
    <col min="1" max="1" width="12.7109375" bestFit="1" customWidth="1"/>
    <col min="2" max="3" width="9.5703125" bestFit="1" customWidth="1"/>
    <col min="4" max="4" width="9.42578125" bestFit="1" customWidth="1"/>
    <col min="8" max="8" width="9.85546875" bestFit="1" customWidth="1"/>
    <col min="10" max="10" width="9.28515625" bestFit="1" customWidth="1"/>
  </cols>
  <sheetData>
    <row r="1" spans="1:10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E2" s="2"/>
    </row>
    <row r="3" spans="1:10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</v>
      </c>
      <c r="I3" s="3" t="s">
        <v>10</v>
      </c>
      <c r="J3" s="3" t="s">
        <v>11</v>
      </c>
    </row>
    <row r="4" spans="1:10" x14ac:dyDescent="0.25">
      <c r="A4" s="4" t="s">
        <v>12</v>
      </c>
      <c r="B4" s="5">
        <v>42000</v>
      </c>
      <c r="C4" s="5">
        <v>46800</v>
      </c>
      <c r="D4" s="5">
        <v>51200</v>
      </c>
      <c r="E4" s="5">
        <v>55600</v>
      </c>
      <c r="F4" s="5">
        <v>60100</v>
      </c>
      <c r="G4" s="5">
        <v>65400</v>
      </c>
      <c r="H4" s="6">
        <f>SUM(B4:G4)</f>
        <v>321100</v>
      </c>
      <c r="I4" s="6">
        <f>AVERAGE(B4:G4)</f>
        <v>53516.666666666664</v>
      </c>
      <c r="J4" s="7">
        <f>(G4-B4)/B4</f>
        <v>0.55714285714285716</v>
      </c>
    </row>
    <row r="5" spans="1:10" x14ac:dyDescent="0.25">
      <c r="A5" s="4" t="s">
        <v>0</v>
      </c>
      <c r="B5" s="5">
        <v>35000</v>
      </c>
      <c r="C5" s="5">
        <v>38500</v>
      </c>
      <c r="D5" s="5">
        <v>41200</v>
      </c>
      <c r="E5" s="5">
        <v>44800</v>
      </c>
      <c r="F5" s="5">
        <v>48500</v>
      </c>
      <c r="G5" s="5">
        <v>53200</v>
      </c>
      <c r="H5" s="6">
        <f>SUM(B5:G5)</f>
        <v>261200</v>
      </c>
      <c r="I5" s="6">
        <f>AVERAGE(B5:G5)</f>
        <v>43533.333333333336</v>
      </c>
      <c r="J5" s="7">
        <f>(G5-B5)/B5</f>
        <v>0.52</v>
      </c>
    </row>
    <row r="6" spans="1:10" x14ac:dyDescent="0.25">
      <c r="A6" s="4" t="s">
        <v>13</v>
      </c>
      <c r="B6" s="5">
        <v>28000</v>
      </c>
      <c r="C6" s="5">
        <v>31200</v>
      </c>
      <c r="D6" s="5">
        <v>35600</v>
      </c>
      <c r="E6" s="5">
        <v>39400</v>
      </c>
      <c r="F6" s="5">
        <v>43800</v>
      </c>
      <c r="G6" s="5">
        <v>49100</v>
      </c>
      <c r="H6" s="6">
        <f>SUM(B6:G6)</f>
        <v>227100</v>
      </c>
      <c r="I6" s="6">
        <f>AVERAGE(B6:G6)</f>
        <v>37850</v>
      </c>
      <c r="J6" s="7">
        <f>(G6-B6)/B6</f>
        <v>0.75357142857142856</v>
      </c>
    </row>
    <row r="7" spans="1:10" x14ac:dyDescent="0.25">
      <c r="A7" s="4" t="s">
        <v>14</v>
      </c>
      <c r="B7" s="5">
        <v>32000</v>
      </c>
      <c r="C7" s="5">
        <v>35800</v>
      </c>
      <c r="D7" s="5">
        <v>40100</v>
      </c>
      <c r="E7" s="5">
        <v>44200</v>
      </c>
      <c r="F7" s="5">
        <v>49600</v>
      </c>
      <c r="G7" s="5">
        <v>55300</v>
      </c>
      <c r="H7" s="6">
        <f>SUM(B7:G7)</f>
        <v>257000</v>
      </c>
      <c r="I7" s="6">
        <f>AVERAGE(B7:G7)</f>
        <v>42833.333333333336</v>
      </c>
      <c r="J7" s="7">
        <f>(G7-B7)/B7</f>
        <v>0.72812500000000002</v>
      </c>
    </row>
    <row r="8" spans="1:10" x14ac:dyDescent="0.25">
      <c r="A8" s="4" t="s">
        <v>15</v>
      </c>
      <c r="B8" s="6">
        <f t="shared" ref="B8:H8" si="0">SUM(B4:B7)</f>
        <v>137000</v>
      </c>
      <c r="C8" s="6">
        <f t="shared" si="0"/>
        <v>152300</v>
      </c>
      <c r="D8" s="6">
        <f t="shared" si="0"/>
        <v>168100</v>
      </c>
      <c r="E8" s="6">
        <f t="shared" si="0"/>
        <v>184000</v>
      </c>
      <c r="F8" s="6">
        <f t="shared" si="0"/>
        <v>202000</v>
      </c>
      <c r="G8" s="6">
        <f t="shared" si="0"/>
        <v>223000</v>
      </c>
      <c r="H8" s="6">
        <f t="shared" si="0"/>
        <v>1066400</v>
      </c>
      <c r="I8" s="6">
        <f>AVERAGE(I4:I7)</f>
        <v>44433.333333333336</v>
      </c>
      <c r="J8" s="7">
        <f>(G8-B8)/B8</f>
        <v>0.62773722627737227</v>
      </c>
    </row>
    <row r="9" spans="1:10" x14ac:dyDescent="0.25">
      <c r="E9" s="2"/>
    </row>
    <row r="10" spans="1:10" x14ac:dyDescent="0.25">
      <c r="E10" s="2"/>
    </row>
    <row r="11" spans="1:10" x14ac:dyDescent="0.25">
      <c r="E11" s="2"/>
    </row>
    <row r="12" spans="1:10" x14ac:dyDescent="0.25">
      <c r="E12" s="2"/>
    </row>
    <row r="13" spans="1:10" x14ac:dyDescent="0.25">
      <c r="E13" s="2"/>
    </row>
    <row r="14" spans="1:10" x14ac:dyDescent="0.25">
      <c r="E14" s="2"/>
    </row>
    <row r="15" spans="1:10" x14ac:dyDescent="0.25">
      <c r="E15" s="2"/>
    </row>
    <row r="16" spans="1:10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2026-04-15T14:40:40Z</dcterms:created>
  <dcterms:modified xsi:type="dcterms:W3CDTF">2026-04-15T15:06:30Z</dcterms:modified>
</cp:coreProperties>
</file>