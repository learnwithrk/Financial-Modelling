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0" yWindow="0" windowWidth="19200" windowHeight="7905" tabRatio="500"/>
  </bookViews>
  <sheets>
    <sheet name="Ex2 Financial Analysis" sheetId="3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" i="3" l="1"/>
  <c r="J6" i="3"/>
  <c r="J7" i="3"/>
  <c r="J8" i="3"/>
  <c r="J4" i="3"/>
  <c r="I5" i="3"/>
  <c r="I6" i="3"/>
  <c r="I7" i="3"/>
  <c r="I8" i="3"/>
  <c r="I4" i="3"/>
  <c r="B16" i="3"/>
  <c r="B15" i="3"/>
  <c r="B14" i="3"/>
  <c r="B13" i="3"/>
  <c r="B12" i="3"/>
  <c r="B11" i="3"/>
  <c r="H8" i="3"/>
  <c r="G8" i="3"/>
  <c r="H7" i="3"/>
  <c r="G7" i="3"/>
  <c r="H6" i="3"/>
  <c r="G6" i="3"/>
  <c r="H5" i="3"/>
  <c r="G5" i="3"/>
  <c r="H4" i="3"/>
  <c r="G4" i="3"/>
</calcChain>
</file>

<file path=xl/sharedStrings.xml><?xml version="1.0" encoding="utf-8"?>
<sst xmlns="http://schemas.openxmlformats.org/spreadsheetml/2006/main" count="31" uniqueCount="30">
  <si>
    <t>EXERCISE 2 — Financial Data Analysis &amp; Reporting</t>
  </si>
  <si>
    <t>Company</t>
  </si>
  <si>
    <t>Revenue
(Cr)</t>
  </si>
  <si>
    <t>Profit
(Cr)</t>
  </si>
  <si>
    <t>EPS
(Rs)</t>
  </si>
  <si>
    <t>ROE
%</t>
  </si>
  <si>
    <t>Debt/
Equity</t>
  </si>
  <si>
    <t>Rank
by Profit</t>
  </si>
  <si>
    <t>Rank
by ROE</t>
  </si>
  <si>
    <t>Risk Level</t>
  </si>
  <si>
    <t>Filter
Result</t>
  </si>
  <si>
    <t>Reliance Industries</t>
  </si>
  <si>
    <t>Tata Steel</t>
  </si>
  <si>
    <t>HDFC Bank</t>
  </si>
  <si>
    <t>Infosys</t>
  </si>
  <si>
    <t>ITC</t>
  </si>
  <si>
    <t>📌 Conditional Formatting: Select F4:F8 → Home → Conditional Formatting → Highlight Cell Rules → Greater Than → 1 → Red Fill</t>
  </si>
  <si>
    <t>Highest Revenue</t>
  </si>
  <si>
    <t>Cr</t>
  </si>
  <si>
    <t>Highest Profit</t>
  </si>
  <si>
    <t>Best EPS</t>
  </si>
  <si>
    <t>Rs</t>
  </si>
  <si>
    <t>Avg ROE</t>
  </si>
  <si>
    <t>%</t>
  </si>
  <si>
    <t>Lowest D/E</t>
  </si>
  <si>
    <t>x</t>
  </si>
  <si>
    <t>Companies ROE&gt;15%</t>
  </si>
  <si>
    <t>nos</t>
  </si>
  <si>
    <t>COMPANY FINANCIAL DATA — Indian Blue-Chip Stocks</t>
  </si>
  <si>
    <t>SUMMARY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</si>
</sst>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1B2A4A"/>
      <name val="Arial"/>
      <family val="2"/>
    </font>
    <font>
      <sz val="9"/>
      <color rgb="FF424242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424242"/>
      <name val="Arial"/>
      <family val="2"/>
    </font>
    <font>
      <b/>
      <sz val="10"/>
      <color rgb="FF424242"/>
      <name val="Arial"/>
      <family val="2"/>
    </font>
    <font>
      <i/>
      <sz val="9"/>
      <color rgb="FF1B2A4A"/>
      <name val="Arial"/>
      <family val="2"/>
    </font>
    <font>
      <b/>
      <sz val="10"/>
      <color rgb="FF4A148C"/>
      <name val="Arial"/>
      <family val="2"/>
    </font>
    <font>
      <b/>
      <sz val="11"/>
      <color rgb="FF1B2A4A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2D2D2D"/>
      </patternFill>
    </fill>
    <fill>
      <patternFill patternType="solid">
        <fgColor rgb="FFD6E4F7"/>
        <bgColor rgb="FFE0F2F1"/>
      </patternFill>
    </fill>
    <fill>
      <patternFill patternType="solid">
        <fgColor rgb="FFF5F5F5"/>
        <bgColor rgb="FFEBF3FC"/>
      </patternFill>
    </fill>
    <fill>
      <patternFill patternType="solid">
        <fgColor rgb="FFC8E6C9"/>
        <bgColor rgb="FFD9D9D9"/>
      </patternFill>
    </fill>
    <fill>
      <patternFill patternType="solid">
        <fgColor rgb="FFFFFFFF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FFCDD2"/>
        <bgColor rgb="FFD9D9D9"/>
      </patternFill>
    </fill>
    <fill>
      <patternFill patternType="solid">
        <fgColor rgb="FF2E5FA3"/>
        <bgColor rgb="FF426FA6"/>
      </patternFill>
    </fill>
    <fill>
      <patternFill patternType="solid">
        <fgColor rgb="FFE8F5E9"/>
        <bgColor rgb="FFE0F2F1"/>
      </patternFill>
    </fill>
    <fill>
      <patternFill patternType="solid">
        <fgColor rgb="FF004D40"/>
        <bgColor rgb="FF1B5E20"/>
      </patternFill>
    </fill>
    <fill>
      <patternFill patternType="solid">
        <fgColor rgb="FF4A148C"/>
        <bgColor rgb="FF1B2A4A"/>
      </patternFill>
    </fill>
    <fill>
      <patternFill patternType="solid">
        <fgColor rgb="FFEDE7F6"/>
        <bgColor rgb="FFEBF3FC"/>
      </patternFill>
    </fill>
    <fill>
      <patternFill patternType="solid">
        <fgColor rgb="FF004D40"/>
        <bgColor theme="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">
    <xf numFmtId="0" fontId="0" fillId="0" borderId="0"/>
    <xf numFmtId="0" fontId="4" fillId="14" borderId="0" applyFont="0" applyAlignment="0">
      <alignment horizontal="center" vertical="center" wrapText="1"/>
    </xf>
  </cellStyleXfs>
  <cellXfs count="22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10" fontId="10" fillId="10" borderId="1" xfId="0" applyNumberFormat="1" applyFont="1" applyFill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5" fillId="12" borderId="0" xfId="0" applyFont="1" applyFill="1" applyBorder="1" applyAlignment="1">
      <alignment horizontal="center" vertical="center" wrapText="1"/>
    </xf>
    <xf numFmtId="0" fontId="4" fillId="11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Style 1" xfId="1"/>
  </cellStyles>
  <dxfs count="1">
    <dxf>
      <font>
        <b/>
        <color rgb="FFB71C1C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B8238"/>
      <rgbColor rgb="FF9BBB59"/>
      <rgbColor rgb="FF0000FF"/>
      <rgbColor rgb="FFB3C992"/>
      <rgbColor rgb="FFD6E4F7"/>
      <rgbColor rgb="FF4A90D9"/>
      <rgbColor rgb="FFEBF3FC"/>
      <rgbColor rgb="FF1B5E20"/>
      <rgbColor rgb="FF000080"/>
      <rgbColor rgb="FF87A44B"/>
      <rgbColor rgb="FFC0504D"/>
      <rgbColor rgb="FF3D97AF"/>
      <rgbColor rgb="FFBDBDBD"/>
      <rgbColor rgb="FF878787"/>
      <rgbColor rgb="FF8EA5CA"/>
      <rgbColor rgb="FFAA433F"/>
      <rgbColor rgb="FFFFF9C4"/>
      <rgbColor rgb="FFE0F2F1"/>
      <rgbColor rgb="FF4A148C"/>
      <rgbColor rgb="FFF79646"/>
      <rgbColor rgb="FF2E5FA3"/>
      <rgbColor rgb="FFD4D4D4"/>
      <rgbColor rgb="FF000080"/>
      <rgbColor rgb="FFEDE7F6"/>
      <rgbColor rgb="FFD9D9D9"/>
      <rgbColor rgb="FF4F81BD"/>
      <rgbColor rgb="FF8064A2"/>
      <rgbColor rgb="FF800000"/>
      <rgbColor rgb="FF4A7EBB"/>
      <rgbColor rgb="FF0000FF"/>
      <rgbColor rgb="FF46AAC4"/>
      <rgbColor rgb="FFE8F5E9"/>
      <rgbColor rgb="FFC8E6C9"/>
      <rgbColor rgb="FFF5F5F5"/>
      <rgbColor rgb="FF9CDCFE"/>
      <rgbColor rgb="FFCC8F8E"/>
      <rgbColor rgb="FFC586C0"/>
      <rgbColor rgb="FFFFCDD2"/>
      <rgbColor rgb="FF426FA6"/>
      <rgbColor rgb="FF4BACC6"/>
      <rgbColor rgb="FF98B855"/>
      <rgbColor rgb="FFDCDCAA"/>
      <rgbColor rgb="FFF59240"/>
      <rgbColor rgb="FFE65100"/>
      <rgbColor rgb="FF6F568D"/>
      <rgbColor rgb="FFA596B9"/>
      <rgbColor rgb="FF1B2A4A"/>
      <rgbColor rgb="FF57A64A"/>
      <rgbColor rgb="FF004D40"/>
      <rgbColor rgb="FF424242"/>
      <rgbColor rgb="FFB71C1C"/>
      <rgbColor rgb="FFBE4B48"/>
      <rgbColor rgb="FF7D5FA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vs Profit (Cr)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'Ex2 Financial Analysis'!$B$3</c:f>
              <c:strCache>
                <c:ptCount val="1"/>
                <c:pt idx="0">
                  <c:v>Revenue
(Cr)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'Ex2 Financial Analysis'!$A$4:$A$8</c:f>
              <c:strCache>
                <c:ptCount val="5"/>
                <c:pt idx="0">
                  <c:v>Reliance Industries</c:v>
                </c:pt>
                <c:pt idx="1">
                  <c:v>Tata Steel</c:v>
                </c:pt>
                <c:pt idx="2">
                  <c:v>HDFC Bank</c:v>
                </c:pt>
                <c:pt idx="3">
                  <c:v>Infosys</c:v>
                </c:pt>
                <c:pt idx="4">
                  <c:v>ITC</c:v>
                </c:pt>
              </c:strCache>
            </c:strRef>
          </c:cat>
          <c:val>
            <c:numRef>
              <c:f>'Ex2 Financial Analysis'!$B$4:$B$8</c:f>
              <c:numCache>
                <c:formatCode>#,##0</c:formatCode>
                <c:ptCount val="5"/>
                <c:pt idx="0">
                  <c:v>845000</c:v>
                </c:pt>
                <c:pt idx="1">
                  <c:v>150500</c:v>
                </c:pt>
                <c:pt idx="2">
                  <c:v>160000</c:v>
                </c:pt>
                <c:pt idx="3">
                  <c:v>150000</c:v>
                </c:pt>
                <c:pt idx="4">
                  <c:v>58500</c:v>
                </c:pt>
              </c:numCache>
            </c:numRef>
          </c:val>
        </c:ser>
        <c:ser>
          <c:idx val="1"/>
          <c:order val="1"/>
          <c:tx>
            <c:strRef>
              <c:f>'Ex2 Financial Analysis'!$C$3</c:f>
              <c:strCache>
                <c:ptCount val="1"/>
                <c:pt idx="0">
                  <c:v>Profit
(Cr)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'Ex2 Financial Analysis'!$A$4:$A$8</c:f>
              <c:strCache>
                <c:ptCount val="5"/>
                <c:pt idx="0">
                  <c:v>Reliance Industries</c:v>
                </c:pt>
                <c:pt idx="1">
                  <c:v>Tata Steel</c:v>
                </c:pt>
                <c:pt idx="2">
                  <c:v>HDFC Bank</c:v>
                </c:pt>
                <c:pt idx="3">
                  <c:v>Infosys</c:v>
                </c:pt>
                <c:pt idx="4">
                  <c:v>ITC</c:v>
                </c:pt>
              </c:strCache>
            </c:strRef>
          </c:cat>
          <c:val>
            <c:numRef>
              <c:f>'Ex2 Financial Analysis'!$C$4:$C$8</c:f>
              <c:numCache>
                <c:formatCode>#,##0</c:formatCode>
                <c:ptCount val="5"/>
                <c:pt idx="0">
                  <c:v>75000</c:v>
                </c:pt>
                <c:pt idx="1">
                  <c:v>12800</c:v>
                </c:pt>
                <c:pt idx="2">
                  <c:v>35000</c:v>
                </c:pt>
                <c:pt idx="3">
                  <c:v>32000</c:v>
                </c:pt>
                <c:pt idx="4">
                  <c:v>15200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6111440"/>
        <c:axId val="1796117424"/>
      </c:barChart>
      <c:catAx>
        <c:axId val="1796111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96117424"/>
        <c:crosses val="autoZero"/>
        <c:auto val="1"/>
        <c:lblAlgn val="ctr"/>
        <c:lblOffset val="100"/>
        <c:noMultiLvlLbl val="0"/>
      </c:catAx>
      <c:valAx>
        <c:axId val="1796117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(Cr)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961114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8</xdr:col>
      <xdr:colOff>784080</xdr:colOff>
      <xdr:row>43</xdr:row>
      <xdr:rowOff>85320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4D40"/>
  </sheetPr>
  <dimension ref="A1:J16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8" sqref="N8"/>
    </sheetView>
  </sheetViews>
  <sheetFormatPr defaultColWidth="8.7109375" defaultRowHeight="15" x14ac:dyDescent="0.25"/>
  <cols>
    <col min="1" max="1" width="22" style="1" customWidth="1"/>
    <col min="2" max="3" width="11" style="1" customWidth="1"/>
    <col min="4" max="6" width="9" style="1" customWidth="1"/>
    <col min="7" max="8" width="10" style="1" customWidth="1"/>
    <col min="9" max="9" width="14" style="1" customWidth="1"/>
    <col min="10" max="10" width="13" style="1" customWidth="1"/>
  </cols>
  <sheetData>
    <row r="1" spans="1:10" s="21" customFormat="1" ht="42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5.5" customHeight="1" x14ac:dyDescent="0.25">
      <c r="A2" s="17" t="s">
        <v>28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36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24" customHeight="1" x14ac:dyDescent="0.25">
      <c r="A4" s="3" t="s">
        <v>11</v>
      </c>
      <c r="B4" s="6">
        <v>845000</v>
      </c>
      <c r="C4" s="6">
        <v>75000</v>
      </c>
      <c r="D4" s="4">
        <v>110</v>
      </c>
      <c r="E4" s="7">
        <v>0.18</v>
      </c>
      <c r="F4" s="8">
        <v>0.8</v>
      </c>
      <c r="G4" s="9">
        <f>RANK(C4,C$4:C$8,0)</f>
        <v>1</v>
      </c>
      <c r="H4" s="9">
        <f>RANK(E4,E$4:E$8,0)</f>
        <v>3</v>
      </c>
      <c r="I4" s="4" t="str">
        <f>IF(F4&gt;1,"High Risk",IF(F4&gt;0.6,"Medium","Low Risk"))</f>
        <v>Medium</v>
      </c>
      <c r="J4" s="10" t="str">
        <f>IF(AND(E4&gt;0.15,F4&lt;1),"Qualifies","Excluded")</f>
        <v>Qualifies</v>
      </c>
    </row>
    <row r="5" spans="1:10" ht="24" customHeight="1" x14ac:dyDescent="0.25">
      <c r="A5" s="3" t="s">
        <v>12</v>
      </c>
      <c r="B5" s="11">
        <v>150500</v>
      </c>
      <c r="C5" s="11">
        <v>12800</v>
      </c>
      <c r="D5" s="5">
        <v>42</v>
      </c>
      <c r="E5" s="12">
        <v>0.14000000000000001</v>
      </c>
      <c r="F5" s="13">
        <v>1.2</v>
      </c>
      <c r="G5" s="9">
        <f>RANK(C5,C$4:C$8,0)</f>
        <v>5</v>
      </c>
      <c r="H5" s="9">
        <f>RANK(E5,E$4:E$8,0)</f>
        <v>5</v>
      </c>
      <c r="I5" s="4" t="str">
        <f t="shared" ref="I5:I8" si="0">IF(F5&gt;1,"High Risk",IF(F5&gt;0.6,"Medium","Low Risk"))</f>
        <v>High Risk</v>
      </c>
      <c r="J5" s="10" t="str">
        <f t="shared" ref="J5:J8" si="1">IF(AND(E5&gt;0.15,F5&lt;1),"Qualifies","Excluded")</f>
        <v>Excluded</v>
      </c>
    </row>
    <row r="6" spans="1:10" ht="24" customHeight="1" x14ac:dyDescent="0.25">
      <c r="A6" s="3" t="s">
        <v>13</v>
      </c>
      <c r="B6" s="6">
        <v>160000</v>
      </c>
      <c r="C6" s="6">
        <v>35000</v>
      </c>
      <c r="D6" s="4">
        <v>60</v>
      </c>
      <c r="E6" s="7">
        <v>0.2</v>
      </c>
      <c r="F6" s="8">
        <v>0.5</v>
      </c>
      <c r="G6" s="9">
        <f>RANK(C6,C$4:C$8,0)</f>
        <v>2</v>
      </c>
      <c r="H6" s="9">
        <f>RANK(E6,E$4:E$8,0)</f>
        <v>2</v>
      </c>
      <c r="I6" s="4" t="str">
        <f t="shared" si="0"/>
        <v>Low Risk</v>
      </c>
      <c r="J6" s="10" t="str">
        <f t="shared" si="1"/>
        <v>Qualifies</v>
      </c>
    </row>
    <row r="7" spans="1:10" ht="24" customHeight="1" x14ac:dyDescent="0.25">
      <c r="A7" s="3" t="s">
        <v>14</v>
      </c>
      <c r="B7" s="11">
        <v>150000</v>
      </c>
      <c r="C7" s="11">
        <v>32000</v>
      </c>
      <c r="D7" s="5">
        <v>55</v>
      </c>
      <c r="E7" s="12">
        <v>0.23</v>
      </c>
      <c r="F7" s="8">
        <v>0.3</v>
      </c>
      <c r="G7" s="9">
        <f>RANK(C7,C$4:C$8,0)</f>
        <v>3</v>
      </c>
      <c r="H7" s="9">
        <f>RANK(E7,E$4:E$8,0)</f>
        <v>1</v>
      </c>
      <c r="I7" s="4" t="str">
        <f t="shared" si="0"/>
        <v>Low Risk</v>
      </c>
      <c r="J7" s="10" t="str">
        <f t="shared" si="1"/>
        <v>Qualifies</v>
      </c>
    </row>
    <row r="8" spans="1:10" ht="24" customHeight="1" x14ac:dyDescent="0.25">
      <c r="A8" s="3" t="s">
        <v>15</v>
      </c>
      <c r="B8" s="6">
        <v>58500</v>
      </c>
      <c r="C8" s="6">
        <v>15200</v>
      </c>
      <c r="D8" s="4">
        <v>39</v>
      </c>
      <c r="E8" s="7">
        <v>0.18</v>
      </c>
      <c r="F8" s="8">
        <v>0.4</v>
      </c>
      <c r="G8" s="9">
        <f>RANK(C8,C$4:C$8,0)</f>
        <v>4</v>
      </c>
      <c r="H8" s="9">
        <f>RANK(E8,E$4:E$8,0)</f>
        <v>3</v>
      </c>
      <c r="I8" s="4" t="str">
        <f t="shared" si="0"/>
        <v>Low Risk</v>
      </c>
      <c r="J8" s="10" t="str">
        <f t="shared" si="1"/>
        <v>Qualifies</v>
      </c>
    </row>
    <row r="9" spans="1:10" ht="19.5" customHeight="1" x14ac:dyDescent="0.25">
      <c r="A9" s="18" t="s">
        <v>16</v>
      </c>
      <c r="B9" s="18"/>
      <c r="C9" s="18"/>
      <c r="D9" s="18"/>
      <c r="E9" s="18"/>
      <c r="F9" s="18"/>
      <c r="G9" s="18"/>
      <c r="H9" s="18"/>
      <c r="I9" s="18"/>
      <c r="J9" s="18"/>
    </row>
    <row r="10" spans="1:10" ht="25.5" customHeight="1" x14ac:dyDescent="0.25">
      <c r="A10" s="19" t="s">
        <v>29</v>
      </c>
      <c r="B10" s="19"/>
      <c r="C10" s="19"/>
      <c r="D10" s="19"/>
      <c r="E10" s="19"/>
      <c r="F10" s="19"/>
      <c r="G10" s="19"/>
      <c r="H10" s="19"/>
      <c r="I10" s="19"/>
      <c r="J10" s="19"/>
    </row>
    <row r="11" spans="1:10" ht="21.75" customHeight="1" x14ac:dyDescent="0.25">
      <c r="A11" s="14" t="s">
        <v>17</v>
      </c>
      <c r="B11" s="15">
        <f>MAX(B4:B8)</f>
        <v>845000</v>
      </c>
      <c r="C11" s="5" t="s">
        <v>18</v>
      </c>
    </row>
    <row r="12" spans="1:10" ht="21.75" customHeight="1" x14ac:dyDescent="0.25">
      <c r="A12" s="14" t="s">
        <v>19</v>
      </c>
      <c r="B12" s="15">
        <f>MAX(C4:C8)</f>
        <v>75000</v>
      </c>
      <c r="C12" s="5" t="s">
        <v>18</v>
      </c>
    </row>
    <row r="13" spans="1:10" ht="21.75" customHeight="1" x14ac:dyDescent="0.25">
      <c r="A13" s="14" t="s">
        <v>20</v>
      </c>
      <c r="B13" s="15">
        <f>MAX(D4:D8)</f>
        <v>110</v>
      </c>
      <c r="C13" s="5" t="s">
        <v>21</v>
      </c>
    </row>
    <row r="14" spans="1:10" ht="21.75" customHeight="1" x14ac:dyDescent="0.25">
      <c r="A14" s="14" t="s">
        <v>22</v>
      </c>
      <c r="B14" s="16">
        <f>AVERAGE(E4:E8)</f>
        <v>0.186</v>
      </c>
      <c r="C14" s="5" t="s">
        <v>23</v>
      </c>
    </row>
    <row r="15" spans="1:10" ht="21.75" customHeight="1" x14ac:dyDescent="0.25">
      <c r="A15" s="14" t="s">
        <v>24</v>
      </c>
      <c r="B15" s="15">
        <f>MIN(F4:F8)</f>
        <v>0.3</v>
      </c>
      <c r="C15" s="5" t="s">
        <v>25</v>
      </c>
    </row>
    <row r="16" spans="1:10" ht="21.75" customHeight="1" x14ac:dyDescent="0.25">
      <c r="A16" s="14" t="s">
        <v>26</v>
      </c>
      <c r="B16" s="15">
        <f>COUNTIF(E4:E8,"&gt;0.15")</f>
        <v>4</v>
      </c>
      <c r="C16" s="5" t="s">
        <v>27</v>
      </c>
    </row>
  </sheetData>
  <mergeCells count="4">
    <mergeCell ref="A1:J1"/>
    <mergeCell ref="A2:J2"/>
    <mergeCell ref="A9:J9"/>
    <mergeCell ref="A10:J10"/>
  </mergeCells>
  <conditionalFormatting sqref="F4:F8">
    <cfRule type="cellIs" dxfId="0" priority="2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Ex2 Financial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Welcome</cp:lastModifiedBy>
  <cp:revision>5</cp:revision>
  <dcterms:created xsi:type="dcterms:W3CDTF">2026-04-11T03:59:57Z</dcterms:created>
  <dcterms:modified xsi:type="dcterms:W3CDTF">2026-04-19T15:29:42Z</dcterms:modified>
  <dc:language>en-US</dc:language>
</cp:coreProperties>
</file>